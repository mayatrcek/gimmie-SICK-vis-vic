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LocalProjects\gimmie-SICK-vis-vic\sources\docs\"/>
    </mc:Choice>
  </mc:AlternateContent>
  <xr:revisionPtr revIDLastSave="0" documentId="13_ncr:1_{A1F89657-2082-45FA-9053-DBACEB730495}" xr6:coauthVersionLast="47" xr6:coauthVersionMax="47" xr10:uidLastSave="{00000000-0000-0000-0000-000000000000}"/>
  <bookViews>
    <workbookView xWindow="-110" yWindow="-110" windowWidth="23260" windowHeight="14860" tabRatio="500" activeTab="1" xr2:uid="{00000000-000D-0000-FFFF-FFFF00000000}"/>
  </bookViews>
  <sheets>
    <sheet name="Instructions" sheetId="1" r:id="rId1"/>
    <sheet name="Rating Examples"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 i="2" l="1"/>
  <c r="B1" i="2"/>
</calcChain>
</file>

<file path=xl/sharedStrings.xml><?xml version="1.0" encoding="utf-8"?>
<sst xmlns="http://schemas.openxmlformats.org/spreadsheetml/2006/main" count="157" uniqueCount="138">
  <si>
    <t>Gimmie Sick Vis — Forecast Rating Examples</t>
  </si>
  <si>
    <t>What this is for:</t>
  </si>
  <si>
    <t>22 realistic Victorian condition scenarios are pre-filled on the 'Rating Examples' tab, each with an app-generated summary and score using the app's current (naive) logic. Your job is just to fill in the two gaps per row: 'Your Rating (1-10)' and 'Why'. That gap — where you disagree with the app and explain the real reasoning — is exactly what trains Claude Code on the logic the current scoring is missing.</t>
  </si>
  <si>
    <t>How to fill it in:</t>
  </si>
  <si>
    <t>1. Read the conditions (columns B-K) and the app's current summary/score (columns L-M).</t>
  </si>
  <si>
    <t>2. In column N, give the score YOU think is correct for that scenario. 1 = don't bother, 10 = drop everything and go.</t>
  </si>
  <si>
    <t>3. In column O, explain WHY — especially when you disagree with the app. Be specific about which factor the app got wrong (e.g. 'app dinged this for swell height but a 15s period means it's long clean groundswell, not chop' or 'app ignored vis — tannic water kills this regardless of wind/swell').</t>
  </si>
  <si>
    <t>4. Rows 26+ are blank if you want to add more of your own scenarios — same format.</t>
  </si>
  <si>
    <t>Why some app scores look wrong:</t>
  </si>
  <si>
    <t>The app's current logic weighs wind speed and swell height only, and ignores swell period, visibility/chlorophyll, tide, and current. Several rows are deliberately built as edge cases where that matters — e.g. offshore wind with a long-period groundswell (looks bad on height alone, is actually great), or light wind with murky/tannic water (looks good on wind/swell alone, is actually poor). Your ratings on those rows are the most valuable training signal.</t>
  </si>
  <si>
    <t>Once you've filled in enough rows, hand the sheet to Claude Code and ask it to infer the scoring logic from your ratings and reasoning, or use it directly as few-shot examples in the forecast prompt.</t>
  </si>
  <si>
    <t>Rated examples:</t>
  </si>
  <si>
    <t>Average of your ratings:</t>
  </si>
  <si>
    <t>ID</t>
  </si>
  <si>
    <t>Location / Spot</t>
  </si>
  <si>
    <t>Date</t>
  </si>
  <si>
    <t>Wind Speed (kn)</t>
  </si>
  <si>
    <t>Wind Direction</t>
  </si>
  <si>
    <t>Swell Height (m)</t>
  </si>
  <si>
    <t>Swell Period (s)</t>
  </si>
  <si>
    <t>Vis / Chlorophyll Indicator</t>
  </si>
  <si>
    <t>App-Generated Summary</t>
  </si>
  <si>
    <t>App-Generated Score</t>
  </si>
  <si>
    <t>Your Rating (1-10)</t>
  </si>
  <si>
    <t>Why (reasoning)</t>
  </si>
  <si>
    <t>Pyramid Rock, Phillip Island</t>
  </si>
  <si>
    <t>2026-06-14</t>
  </si>
  <si>
    <t>NW (offshore)</t>
  </si>
  <si>
    <t>Low chlorophyll, clear on satellite</t>
  </si>
  <si>
    <t>Moderate wind and small swell — fair conditions expected.</t>
  </si>
  <si>
    <t>Seal Rock, Phillip Island</t>
  </si>
  <si>
    <t>2026-07-02</t>
  </si>
  <si>
    <t>SW (onshore)</t>
  </si>
  <si>
    <t>Elevated chlorophyll, turbid</t>
  </si>
  <si>
    <t>Strong onshore wind and moderate swell — marginal conditions.</t>
  </si>
  <si>
    <t>Point Leo, Mornington Peninsula</t>
  </si>
  <si>
    <t>2026-05-20</t>
  </si>
  <si>
    <t>Variable</t>
  </si>
  <si>
    <t>Moderate, some windswell chop</t>
  </si>
  <si>
    <t>Light wind and small swell — good conditions.</t>
  </si>
  <si>
    <t>Flinders back beach</t>
  </si>
  <si>
    <t>2026-08-03</t>
  </si>
  <si>
    <t>Clear, big clean groundswell pushed in</t>
  </si>
  <si>
    <t>Strong wind and large swell — poor conditions.</t>
  </si>
  <si>
    <t>Barwon River mouth</t>
  </si>
  <si>
    <t>2026-04-11</t>
  </si>
  <si>
    <t>NE</t>
  </si>
  <si>
    <t>Murky, post-rain runoff, tannic</t>
  </si>
  <si>
    <t>Light wind, sheltered estuary — good conditions.</t>
  </si>
  <si>
    <t>Cape Schanck</t>
  </si>
  <si>
    <t>2026-06-28</t>
  </si>
  <si>
    <t>W</t>
  </si>
  <si>
    <t>Low chlorophyll per RipCharts — clear</t>
  </si>
  <si>
    <t>Moderate wind and swell — fair conditions.</t>
  </si>
  <si>
    <t>13th Beach, Bellarine</t>
  </si>
  <si>
    <t>2026-07-19</t>
  </si>
  <si>
    <t>Stirred up, sandy</t>
  </si>
  <si>
    <t>Fresh onshore wind — marginal conditions.</t>
  </si>
  <si>
    <t>Portland (Bridgewater Bay)</t>
  </si>
  <si>
    <t>2026-09-06</t>
  </si>
  <si>
    <t>Clean blue water, low chlorophyll</t>
  </si>
  <si>
    <t>Moderate wind and large swell — marginal conditions.</t>
  </si>
  <si>
    <t>Point Lonsdale</t>
  </si>
  <si>
    <t>2026-05-30</t>
  </si>
  <si>
    <t>SE (onshore)</t>
  </si>
  <si>
    <t>Sandy, stirred by rip</t>
  </si>
  <si>
    <t>Fresh onshore wind and moderate swell — marginal conditions.</t>
  </si>
  <si>
    <t>Lorne, Great Ocean Road</t>
  </si>
  <si>
    <t>2026-04-25</t>
  </si>
  <si>
    <t>Light/variable</t>
  </si>
  <si>
    <t>Clear</t>
  </si>
  <si>
    <t>Light wind, small clean swell — good conditions.</t>
  </si>
  <si>
    <t>Apollo Bay</t>
  </si>
  <si>
    <t>2026-08-14</t>
  </si>
  <si>
    <t>W (onshore gale)</t>
  </si>
  <si>
    <t>Poor, churned white water</t>
  </si>
  <si>
    <t>Gale-force wind and large swell — poor conditions, not recommended.</t>
  </si>
  <si>
    <t>San Remo channel</t>
  </si>
  <si>
    <t>2026-06-09</t>
  </si>
  <si>
    <t>Moderate tidal turbidity</t>
  </si>
  <si>
    <t>Moderate wind, sheltered channel — good conditions.</t>
  </si>
  <si>
    <t>Wilsons Prom (Norman Bay)</t>
  </si>
  <si>
    <t>2026-03-15</t>
  </si>
  <si>
    <t>SW</t>
  </si>
  <si>
    <t>Clear, remote water</t>
  </si>
  <si>
    <t>Light-moderate wind and small swell — good conditions.</t>
  </si>
  <si>
    <t>Blairgowrie, Port Phillip Bay</t>
  </si>
  <si>
    <t>2026-05-04</t>
  </si>
  <si>
    <t>N</t>
  </si>
  <si>
    <t>Moderate bay turbidity</t>
  </si>
  <si>
    <t>Light wind, flat bay — good conditions.</t>
  </si>
  <si>
    <t>Rye back beach</t>
  </si>
  <si>
    <t>2026-07-27</t>
  </si>
  <si>
    <t>S (onshore)</t>
  </si>
  <si>
    <t>Sandy, stirred up</t>
  </si>
  <si>
    <t>Strong onshore wind and choppy swell — poor conditions.</t>
  </si>
  <si>
    <t>Torquay Point</t>
  </si>
  <si>
    <t>2026-04-08</t>
  </si>
  <si>
    <t>Bells Beach</t>
  </si>
  <si>
    <t>2026-08-21</t>
  </si>
  <si>
    <t>SW (cross-shore)</t>
  </si>
  <si>
    <t>Decent, some turbidity</t>
  </si>
  <si>
    <t>Fresh wind and large swell — marginal conditions.</t>
  </si>
  <si>
    <t>Mallacoota inlet</t>
  </si>
  <si>
    <t>2026-03-02</t>
  </si>
  <si>
    <t>Tannic, dark water</t>
  </si>
  <si>
    <t>Light wind, sheltered inlet — good conditions.</t>
  </si>
  <si>
    <t>Glenelg River</t>
  </si>
  <si>
    <t>2026-02-18</t>
  </si>
  <si>
    <t>Calm</t>
  </si>
  <si>
    <t>Tea-coloured, tannin-stained</t>
  </si>
  <si>
    <t>Calm wind, sheltered river — excellent conditions.</t>
  </si>
  <si>
    <t>Sorrento back beach</t>
  </si>
  <si>
    <t>2026-08-30</t>
  </si>
  <si>
    <t>Churned, white water</t>
  </si>
  <si>
    <t>Strong onshore wind and moderate-large swell — poor conditions.</t>
  </si>
  <si>
    <t>Kilcunda</t>
  </si>
  <si>
    <t>2026-06-22</t>
  </si>
  <si>
    <t>Clear per satellite</t>
  </si>
  <si>
    <t>Portsea back beach (Ocean Beach)</t>
  </si>
  <si>
    <t>2026-09-12</t>
  </si>
  <si>
    <t>SW (storm)</t>
  </si>
  <si>
    <t>Heavy whitewash, dangerous</t>
  </si>
  <si>
    <t>Storm-force wind and dangerous swell — do not enter the water.</t>
  </si>
  <si>
    <t>mint</t>
  </si>
  <si>
    <t>swell &gt; 1.5m no good</t>
  </si>
  <si>
    <t>stay away</t>
  </si>
  <si>
    <t>mention recent rainfall / general dirty vis</t>
  </si>
  <si>
    <t>good swell + period, BUT onshore wind can increase swell and create uncomfortable conditions. Good diving on the protected side from westerlies</t>
  </si>
  <si>
    <t>onshore wind, no good</t>
  </si>
  <si>
    <t>large swell and period; no good</t>
  </si>
  <si>
    <t>large swell and wind; no good</t>
  </si>
  <si>
    <t>get in!</t>
  </si>
  <si>
    <t>watch out for the strong tides</t>
  </si>
  <si>
    <t>pretty good, would be better if wind was lower</t>
  </si>
  <si>
    <t>good, wind isnt mint tho</t>
  </si>
  <si>
    <t>no good</t>
  </si>
  <si>
    <t>just mention regular murky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</si>
</sst>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6"/>
      <color rgb="FF1B4B5A"/>
      <name val="Arial"/>
      <charset val="1"/>
    </font>
    <font>
      <sz val="10.5"/>
      <name val="Arial"/>
      <charset val="1"/>
    </font>
    <font>
      <b/>
      <sz val="11"/>
      <color rgb="FF1B4B5A"/>
      <name val="Arial"/>
      <charset val="1"/>
    </font>
    <font>
      <b/>
      <sz val="10"/>
      <color rgb="FF1B4B5A"/>
      <name val="Arial"/>
      <charset val="1"/>
    </font>
    <font>
      <sz val="10"/>
      <name val="Arial"/>
      <charset val="1"/>
    </font>
    <font>
      <b/>
      <sz val="10"/>
      <color rgb="FFFFFFFF"/>
      <name val="Arial"/>
      <charset val="1"/>
    </font>
  </fonts>
  <fills count="5">
    <fill>
      <patternFill patternType="none"/>
    </fill>
    <fill>
      <patternFill patternType="gray125"/>
    </fill>
    <fill>
      <patternFill patternType="solid">
        <fgColor rgb="FF1B4B5A"/>
        <bgColor rgb="FF333333"/>
      </patternFill>
    </fill>
    <fill>
      <patternFill patternType="solid">
        <fgColor rgb="FFFFF3B0"/>
        <bgColor rgb="FFFFF9DB"/>
      </patternFill>
    </fill>
    <fill>
      <patternFill patternType="solid">
        <fgColor rgb="FFFFF9DB"/>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5" fillId="0" borderId="0" xfId="0" applyFont="1"/>
    <xf numFmtId="0" fontId="6" fillId="2" borderId="1" xfId="0" applyFont="1" applyFill="1" applyBorder="1" applyAlignment="1">
      <alignment horizontal="center" vertical="center"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1" fontId="0" fillId="0" borderId="0" xfId="0" applyNumberFormat="1"/>
    <xf numFmtId="1" fontId="6" fillId="2" borderId="1" xfId="0" applyNumberFormat="1" applyFont="1" applyFill="1" applyBorder="1" applyAlignment="1">
      <alignment horizontal="center" vertical="center" wrapText="1"/>
    </xf>
    <xf numFmtId="1" fontId="5" fillId="3" borderId="1" xfId="0" applyNumberFormat="1" applyFont="1" applyFill="1" applyBorder="1" applyAlignment="1">
      <alignment vertical="top" wrapText="1"/>
    </xf>
    <xf numFmtId="1" fontId="5" fillId="4"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D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3B0"/>
      <rgbColor rgb="FF99CCFF"/>
      <rgbColor rgb="FFFF99CC"/>
      <rgbColor rgb="FFCC99FF"/>
      <rgbColor rgb="FFFFCC99"/>
      <rgbColor rgb="FF3366FF"/>
      <rgbColor rgb="FF33CCCC"/>
      <rgbColor rgb="FF99CC00"/>
      <rgbColor rgb="FFFFCC00"/>
      <rgbColor rgb="FFFF9900"/>
      <rgbColor rgb="FFFF6600"/>
      <rgbColor rgb="FF666699"/>
      <rgbColor rgb="FF969696"/>
      <rgbColor rgb="FF1B4B5A"/>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showGridLines="0" zoomScaleNormal="100" workbookViewId="0"/>
  </sheetViews>
  <sheetFormatPr defaultColWidth="8.6328125" defaultRowHeight="14.5" x14ac:dyDescent="0.35"/>
  <cols>
    <col min="1" max="1" width="100" customWidth="1"/>
  </cols>
  <sheetData>
    <row r="1" spans="1:1" ht="20" x14ac:dyDescent="0.4">
      <c r="A1" s="1" t="s">
        <v>0</v>
      </c>
    </row>
    <row r="2" spans="1:1" ht="15.75" customHeight="1" x14ac:dyDescent="0.35">
      <c r="A2" s="2"/>
    </row>
    <row r="3" spans="1:1" ht="15.75" customHeight="1" x14ac:dyDescent="0.35">
      <c r="A3" s="3" t="s">
        <v>1</v>
      </c>
    </row>
    <row r="4" spans="1:1" ht="30" customHeight="1" x14ac:dyDescent="0.35">
      <c r="A4" s="2" t="s">
        <v>2</v>
      </c>
    </row>
    <row r="5" spans="1:1" ht="15.75" customHeight="1" x14ac:dyDescent="0.35">
      <c r="A5" s="2"/>
    </row>
    <row r="6" spans="1:1" ht="15.75" customHeight="1" x14ac:dyDescent="0.35">
      <c r="A6" s="3" t="s">
        <v>3</v>
      </c>
    </row>
    <row r="7" spans="1:1" ht="15.75" customHeight="1" x14ac:dyDescent="0.35">
      <c r="A7" s="2" t="s">
        <v>4</v>
      </c>
    </row>
    <row r="8" spans="1:1" ht="30" customHeight="1" x14ac:dyDescent="0.35">
      <c r="A8" s="2" t="s">
        <v>5</v>
      </c>
    </row>
    <row r="9" spans="1:1" ht="30" customHeight="1" x14ac:dyDescent="0.35">
      <c r="A9" s="2" t="s">
        <v>6</v>
      </c>
    </row>
    <row r="10" spans="1:1" ht="15.75" customHeight="1" x14ac:dyDescent="0.35">
      <c r="A10" s="2" t="s">
        <v>7</v>
      </c>
    </row>
    <row r="11" spans="1:1" ht="15.75" customHeight="1" x14ac:dyDescent="0.35">
      <c r="A11" s="2"/>
    </row>
    <row r="12" spans="1:1" ht="15.75" customHeight="1" x14ac:dyDescent="0.35">
      <c r="A12" s="3" t="s">
        <v>8</v>
      </c>
    </row>
    <row r="13" spans="1:1" ht="30" customHeight="1" x14ac:dyDescent="0.35">
      <c r="A13" s="2" t="s">
        <v>9</v>
      </c>
    </row>
    <row r="14" spans="1:1" ht="15.75" customHeight="1" x14ac:dyDescent="0.35">
      <c r="A14" s="2"/>
    </row>
    <row r="15" spans="1:1" ht="30" customHeight="1" x14ac:dyDescent="0.35">
      <c r="A15" s="2"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5"/>
  <sheetViews>
    <sheetView showGridLines="0" tabSelected="1" topLeftCell="C1" zoomScale="88" zoomScaleNormal="100" workbookViewId="0">
      <pane ySplit="3" topLeftCell="A20" activePane="bottomLeft" state="frozen"/>
      <selection pane="bottomLeft" activeCell="M25" sqref="M25"/>
    </sheetView>
  </sheetViews>
  <sheetFormatPr defaultColWidth="8.6328125" defaultRowHeight="14.5" x14ac:dyDescent="0.35"/>
  <cols>
    <col min="1" max="1" width="6" customWidth="1"/>
    <col min="2" max="2" width="22" customWidth="1"/>
    <col min="3" max="3" width="12" customWidth="1"/>
    <col min="4" max="7" width="14" customWidth="1"/>
    <col min="8" max="8" width="26" customWidth="1"/>
    <col min="9" max="9" width="42" customWidth="1"/>
    <col min="10" max="10" width="16" customWidth="1"/>
    <col min="11" max="11" width="15" style="10" customWidth="1"/>
    <col min="12" max="12" width="48" customWidth="1"/>
  </cols>
  <sheetData>
    <row r="1" spans="1:12" x14ac:dyDescent="0.35">
      <c r="A1" s="4" t="s">
        <v>11</v>
      </c>
      <c r="B1" s="5">
        <f>COUNT(K4:K1000)</f>
        <v>22</v>
      </c>
      <c r="D1" s="4" t="s">
        <v>12</v>
      </c>
      <c r="E1" s="5">
        <f>IFERROR(AVERAGE(K4:K1000),"—")</f>
        <v>4.3181818181818183</v>
      </c>
    </row>
    <row r="3" spans="1:12" ht="31.5" customHeight="1" x14ac:dyDescent="0.35">
      <c r="A3" s="6" t="s">
        <v>13</v>
      </c>
      <c r="B3" s="6" t="s">
        <v>14</v>
      </c>
      <c r="C3" s="6" t="s">
        <v>15</v>
      </c>
      <c r="D3" s="6" t="s">
        <v>16</v>
      </c>
      <c r="E3" s="6" t="s">
        <v>17</v>
      </c>
      <c r="F3" s="6" t="s">
        <v>18</v>
      </c>
      <c r="G3" s="6" t="s">
        <v>19</v>
      </c>
      <c r="H3" s="6" t="s">
        <v>20</v>
      </c>
      <c r="I3" s="6" t="s">
        <v>21</v>
      </c>
      <c r="J3" s="6" t="s">
        <v>22</v>
      </c>
      <c r="K3" s="11" t="s">
        <v>23</v>
      </c>
      <c r="L3" s="6" t="s">
        <v>24</v>
      </c>
    </row>
    <row r="4" spans="1:12" ht="45.75" customHeight="1" x14ac:dyDescent="0.35">
      <c r="A4" s="7">
        <v>1</v>
      </c>
      <c r="B4" s="7" t="s">
        <v>25</v>
      </c>
      <c r="C4" s="7" t="s">
        <v>26</v>
      </c>
      <c r="D4" s="7">
        <v>12</v>
      </c>
      <c r="E4" s="7" t="s">
        <v>27</v>
      </c>
      <c r="F4" s="7">
        <v>0.8</v>
      </c>
      <c r="G4" s="7">
        <v>11</v>
      </c>
      <c r="H4" s="7" t="s">
        <v>28</v>
      </c>
      <c r="I4" s="7" t="s">
        <v>29</v>
      </c>
      <c r="J4" s="7">
        <v>6</v>
      </c>
      <c r="K4" s="12">
        <v>8</v>
      </c>
      <c r="L4" s="8" t="s">
        <v>124</v>
      </c>
    </row>
    <row r="5" spans="1:12" ht="45.75" customHeight="1" x14ac:dyDescent="0.35">
      <c r="A5" s="7">
        <v>2</v>
      </c>
      <c r="B5" s="7" t="s">
        <v>30</v>
      </c>
      <c r="C5" s="7" t="s">
        <v>31</v>
      </c>
      <c r="D5" s="7">
        <v>25</v>
      </c>
      <c r="E5" s="7" t="s">
        <v>32</v>
      </c>
      <c r="F5" s="7">
        <v>2.2000000000000002</v>
      </c>
      <c r="G5" s="7">
        <v>8</v>
      </c>
      <c r="H5" s="7" t="s">
        <v>33</v>
      </c>
      <c r="I5" s="7" t="s">
        <v>34</v>
      </c>
      <c r="J5" s="7">
        <v>3</v>
      </c>
      <c r="K5" s="12">
        <v>1</v>
      </c>
      <c r="L5" s="8" t="s">
        <v>125</v>
      </c>
    </row>
    <row r="6" spans="1:12" ht="45.75" customHeight="1" x14ac:dyDescent="0.35">
      <c r="A6" s="7">
        <v>3</v>
      </c>
      <c r="B6" s="7" t="s">
        <v>35</v>
      </c>
      <c r="C6" s="7" t="s">
        <v>36</v>
      </c>
      <c r="D6" s="7">
        <v>8</v>
      </c>
      <c r="E6" s="7" t="s">
        <v>37</v>
      </c>
      <c r="F6" s="7">
        <v>0.5</v>
      </c>
      <c r="G6" s="7">
        <v>6</v>
      </c>
      <c r="H6" s="7" t="s">
        <v>38</v>
      </c>
      <c r="I6" s="7" t="s">
        <v>39</v>
      </c>
      <c r="J6" s="7">
        <v>7</v>
      </c>
      <c r="K6" s="12">
        <v>10</v>
      </c>
      <c r="L6" s="8" t="s">
        <v>124</v>
      </c>
    </row>
    <row r="7" spans="1:12" ht="45.75" customHeight="1" x14ac:dyDescent="0.35">
      <c r="A7" s="7">
        <v>4</v>
      </c>
      <c r="B7" s="7" t="s">
        <v>40</v>
      </c>
      <c r="C7" s="7" t="s">
        <v>41</v>
      </c>
      <c r="D7" s="7">
        <v>30</v>
      </c>
      <c r="E7" s="7" t="s">
        <v>32</v>
      </c>
      <c r="F7" s="7">
        <v>3</v>
      </c>
      <c r="G7" s="7">
        <v>14</v>
      </c>
      <c r="H7" s="7" t="s">
        <v>42</v>
      </c>
      <c r="I7" s="7" t="s">
        <v>43</v>
      </c>
      <c r="J7" s="7">
        <v>2</v>
      </c>
      <c r="K7" s="12">
        <v>1</v>
      </c>
      <c r="L7" s="8" t="s">
        <v>126</v>
      </c>
    </row>
    <row r="8" spans="1:12" ht="45.75" customHeight="1" x14ac:dyDescent="0.35">
      <c r="A8" s="7">
        <v>5</v>
      </c>
      <c r="B8" s="7" t="s">
        <v>44</v>
      </c>
      <c r="C8" s="7" t="s">
        <v>45</v>
      </c>
      <c r="D8" s="7">
        <v>10</v>
      </c>
      <c r="E8" s="7" t="s">
        <v>46</v>
      </c>
      <c r="F8" s="7">
        <v>0</v>
      </c>
      <c r="G8" s="7">
        <v>0</v>
      </c>
      <c r="H8" s="7" t="s">
        <v>47</v>
      </c>
      <c r="I8" s="7" t="s">
        <v>48</v>
      </c>
      <c r="J8" s="7">
        <v>8</v>
      </c>
      <c r="K8" s="12">
        <v>10</v>
      </c>
      <c r="L8" s="8" t="s">
        <v>127</v>
      </c>
    </row>
    <row r="9" spans="1:12" ht="45.75" customHeight="1" x14ac:dyDescent="0.35">
      <c r="A9" s="7">
        <v>6</v>
      </c>
      <c r="B9" s="7" t="s">
        <v>49</v>
      </c>
      <c r="C9" s="7" t="s">
        <v>50</v>
      </c>
      <c r="D9" s="7">
        <v>15</v>
      </c>
      <c r="E9" s="7" t="s">
        <v>51</v>
      </c>
      <c r="F9" s="7">
        <v>1.2</v>
      </c>
      <c r="G9" s="7">
        <v>9</v>
      </c>
      <c r="H9" s="7" t="s">
        <v>52</v>
      </c>
      <c r="I9" s="7" t="s">
        <v>53</v>
      </c>
      <c r="J9" s="7">
        <v>5</v>
      </c>
      <c r="K9" s="12">
        <v>5</v>
      </c>
      <c r="L9" s="8" t="s">
        <v>128</v>
      </c>
    </row>
    <row r="10" spans="1:12" ht="45.75" customHeight="1" x14ac:dyDescent="0.35">
      <c r="A10" s="7">
        <v>7</v>
      </c>
      <c r="B10" s="7" t="s">
        <v>54</v>
      </c>
      <c r="C10" s="7" t="s">
        <v>55</v>
      </c>
      <c r="D10" s="7">
        <v>20</v>
      </c>
      <c r="E10" s="7" t="s">
        <v>32</v>
      </c>
      <c r="F10" s="7">
        <v>1.5</v>
      </c>
      <c r="G10" s="7">
        <v>7</v>
      </c>
      <c r="H10" s="7" t="s">
        <v>56</v>
      </c>
      <c r="I10" s="7" t="s">
        <v>57</v>
      </c>
      <c r="J10" s="7">
        <v>4</v>
      </c>
      <c r="K10" s="12">
        <v>2</v>
      </c>
      <c r="L10" s="8" t="s">
        <v>129</v>
      </c>
    </row>
    <row r="11" spans="1:12" ht="45.75" customHeight="1" x14ac:dyDescent="0.35">
      <c r="A11" s="7">
        <v>8</v>
      </c>
      <c r="B11" s="7" t="s">
        <v>58</v>
      </c>
      <c r="C11" s="7" t="s">
        <v>59</v>
      </c>
      <c r="D11" s="7">
        <v>18</v>
      </c>
      <c r="E11" s="7" t="s">
        <v>27</v>
      </c>
      <c r="F11" s="7">
        <v>2.5</v>
      </c>
      <c r="G11" s="7">
        <v>15</v>
      </c>
      <c r="H11" s="7" t="s">
        <v>60</v>
      </c>
      <c r="I11" s="7" t="s">
        <v>61</v>
      </c>
      <c r="J11" s="7">
        <v>3</v>
      </c>
      <c r="K11" s="12">
        <v>1</v>
      </c>
      <c r="L11" s="8" t="s">
        <v>130</v>
      </c>
    </row>
    <row r="12" spans="1:12" ht="45.75" customHeight="1" x14ac:dyDescent="0.35">
      <c r="A12" s="7">
        <v>9</v>
      </c>
      <c r="B12" s="7" t="s">
        <v>62</v>
      </c>
      <c r="C12" s="7" t="s">
        <v>63</v>
      </c>
      <c r="D12" s="7">
        <v>22</v>
      </c>
      <c r="E12" s="7" t="s">
        <v>64</v>
      </c>
      <c r="F12" s="7">
        <v>1.8</v>
      </c>
      <c r="G12" s="7">
        <v>8</v>
      </c>
      <c r="H12" s="7" t="s">
        <v>65</v>
      </c>
      <c r="I12" s="7" t="s">
        <v>66</v>
      </c>
      <c r="J12" s="7">
        <v>3</v>
      </c>
      <c r="K12" s="12">
        <v>2</v>
      </c>
      <c r="L12" s="8" t="s">
        <v>131</v>
      </c>
    </row>
    <row r="13" spans="1:12" ht="45.75" customHeight="1" x14ac:dyDescent="0.35">
      <c r="A13" s="7">
        <v>10</v>
      </c>
      <c r="B13" s="7" t="s">
        <v>67</v>
      </c>
      <c r="C13" s="7" t="s">
        <v>68</v>
      </c>
      <c r="D13" s="7">
        <v>6</v>
      </c>
      <c r="E13" s="7" t="s">
        <v>69</v>
      </c>
      <c r="F13" s="7">
        <v>0.9</v>
      </c>
      <c r="G13" s="7">
        <v>12</v>
      </c>
      <c r="H13" s="7" t="s">
        <v>70</v>
      </c>
      <c r="I13" s="7" t="s">
        <v>71</v>
      </c>
      <c r="J13" s="7">
        <v>8</v>
      </c>
      <c r="K13" s="12">
        <v>8</v>
      </c>
      <c r="L13" s="8" t="s">
        <v>132</v>
      </c>
    </row>
    <row r="14" spans="1:12" ht="45.75" customHeight="1" x14ac:dyDescent="0.35">
      <c r="A14" s="7">
        <v>11</v>
      </c>
      <c r="B14" s="7" t="s">
        <v>72</v>
      </c>
      <c r="C14" s="7" t="s">
        <v>73</v>
      </c>
      <c r="D14" s="7">
        <v>28</v>
      </c>
      <c r="E14" s="7" t="s">
        <v>74</v>
      </c>
      <c r="F14" s="7">
        <v>3.5</v>
      </c>
      <c r="G14" s="7">
        <v>10</v>
      </c>
      <c r="H14" s="7" t="s">
        <v>75</v>
      </c>
      <c r="I14" s="7" t="s">
        <v>76</v>
      </c>
      <c r="J14" s="7">
        <v>1</v>
      </c>
      <c r="K14" s="12">
        <v>1</v>
      </c>
      <c r="L14" s="8" t="s">
        <v>126</v>
      </c>
    </row>
    <row r="15" spans="1:12" ht="45.75" customHeight="1" x14ac:dyDescent="0.35">
      <c r="A15" s="7">
        <v>12</v>
      </c>
      <c r="B15" s="7" t="s">
        <v>77</v>
      </c>
      <c r="C15" s="7" t="s">
        <v>78</v>
      </c>
      <c r="D15" s="7">
        <v>14</v>
      </c>
      <c r="E15" s="7" t="s">
        <v>46</v>
      </c>
      <c r="F15" s="7">
        <v>0</v>
      </c>
      <c r="G15" s="7">
        <v>0</v>
      </c>
      <c r="H15" s="7" t="s">
        <v>79</v>
      </c>
      <c r="I15" s="7" t="s">
        <v>80</v>
      </c>
      <c r="J15" s="7">
        <v>7</v>
      </c>
      <c r="K15" s="12">
        <v>3</v>
      </c>
      <c r="L15" s="8" t="s">
        <v>133</v>
      </c>
    </row>
    <row r="16" spans="1:12" ht="45.75" customHeight="1" x14ac:dyDescent="0.35">
      <c r="A16" s="7">
        <v>13</v>
      </c>
      <c r="B16" s="7" t="s">
        <v>81</v>
      </c>
      <c r="C16" s="7" t="s">
        <v>82</v>
      </c>
      <c r="D16" s="7">
        <v>10</v>
      </c>
      <c r="E16" s="7" t="s">
        <v>83</v>
      </c>
      <c r="F16" s="7">
        <v>1</v>
      </c>
      <c r="G16" s="7">
        <v>10</v>
      </c>
      <c r="H16" s="7" t="s">
        <v>84</v>
      </c>
      <c r="I16" s="7" t="s">
        <v>85</v>
      </c>
      <c r="J16" s="7">
        <v>7</v>
      </c>
      <c r="K16" s="12">
        <v>7</v>
      </c>
      <c r="L16" s="8" t="s">
        <v>134</v>
      </c>
    </row>
    <row r="17" spans="1:12" ht="45.75" customHeight="1" x14ac:dyDescent="0.35">
      <c r="A17" s="7">
        <v>14</v>
      </c>
      <c r="B17" s="7" t="s">
        <v>86</v>
      </c>
      <c r="C17" s="7" t="s">
        <v>87</v>
      </c>
      <c r="D17" s="7">
        <v>12</v>
      </c>
      <c r="E17" s="7" t="s">
        <v>88</v>
      </c>
      <c r="F17" s="7">
        <v>0</v>
      </c>
      <c r="G17" s="7">
        <v>0</v>
      </c>
      <c r="H17" s="7" t="s">
        <v>89</v>
      </c>
      <c r="I17" s="7" t="s">
        <v>90</v>
      </c>
      <c r="J17" s="7">
        <v>8</v>
      </c>
      <c r="K17" s="12">
        <v>8</v>
      </c>
      <c r="L17" s="8" t="s">
        <v>135</v>
      </c>
    </row>
    <row r="18" spans="1:12" ht="45.75" customHeight="1" x14ac:dyDescent="0.35">
      <c r="A18" s="7">
        <v>15</v>
      </c>
      <c r="B18" s="7" t="s">
        <v>91</v>
      </c>
      <c r="C18" s="7" t="s">
        <v>92</v>
      </c>
      <c r="D18" s="7">
        <v>24</v>
      </c>
      <c r="E18" s="7" t="s">
        <v>93</v>
      </c>
      <c r="F18" s="7">
        <v>2</v>
      </c>
      <c r="G18" s="7">
        <v>7</v>
      </c>
      <c r="H18" s="7" t="s">
        <v>94</v>
      </c>
      <c r="I18" s="7" t="s">
        <v>95</v>
      </c>
      <c r="J18" s="7">
        <v>2</v>
      </c>
      <c r="K18" s="12">
        <v>1</v>
      </c>
      <c r="L18" s="8" t="s">
        <v>136</v>
      </c>
    </row>
    <row r="19" spans="1:12" ht="45.75" customHeight="1" x14ac:dyDescent="0.35">
      <c r="A19" s="7">
        <v>16</v>
      </c>
      <c r="B19" s="7" t="s">
        <v>96</v>
      </c>
      <c r="C19" s="7" t="s">
        <v>97</v>
      </c>
      <c r="D19" s="7">
        <v>16</v>
      </c>
      <c r="E19" s="7" t="s">
        <v>83</v>
      </c>
      <c r="F19" s="7">
        <v>1.6</v>
      </c>
      <c r="G19" s="7">
        <v>13</v>
      </c>
      <c r="H19" s="7" t="s">
        <v>70</v>
      </c>
      <c r="I19" s="7" t="s">
        <v>53</v>
      </c>
      <c r="J19" s="7">
        <v>5</v>
      </c>
      <c r="K19" s="12">
        <v>2</v>
      </c>
      <c r="L19" s="8" t="s">
        <v>136</v>
      </c>
    </row>
    <row r="20" spans="1:12" ht="45.75" customHeight="1" x14ac:dyDescent="0.35">
      <c r="A20" s="7">
        <v>17</v>
      </c>
      <c r="B20" s="7" t="s">
        <v>98</v>
      </c>
      <c r="C20" s="7" t="s">
        <v>99</v>
      </c>
      <c r="D20" s="7">
        <v>20</v>
      </c>
      <c r="E20" s="7" t="s">
        <v>100</v>
      </c>
      <c r="F20" s="7">
        <v>2.8</v>
      </c>
      <c r="G20" s="7">
        <v>11</v>
      </c>
      <c r="H20" s="7" t="s">
        <v>101</v>
      </c>
      <c r="I20" s="7" t="s">
        <v>102</v>
      </c>
      <c r="J20" s="7">
        <v>3</v>
      </c>
      <c r="K20" s="12">
        <v>1</v>
      </c>
      <c r="L20" s="8" t="s">
        <v>136</v>
      </c>
    </row>
    <row r="21" spans="1:12" ht="45.75" customHeight="1" x14ac:dyDescent="0.35">
      <c r="A21" s="7">
        <v>18</v>
      </c>
      <c r="B21" s="7" t="s">
        <v>103</v>
      </c>
      <c r="C21" s="7" t="s">
        <v>104</v>
      </c>
      <c r="D21" s="7">
        <v>8</v>
      </c>
      <c r="E21" s="7" t="s">
        <v>46</v>
      </c>
      <c r="F21" s="7">
        <v>0</v>
      </c>
      <c r="G21" s="7">
        <v>0</v>
      </c>
      <c r="H21" s="7" t="s">
        <v>105</v>
      </c>
      <c r="I21" s="7" t="s">
        <v>106</v>
      </c>
      <c r="J21" s="7">
        <v>8</v>
      </c>
      <c r="K21" s="12">
        <v>10</v>
      </c>
      <c r="L21" s="8" t="s">
        <v>137</v>
      </c>
    </row>
    <row r="22" spans="1:12" ht="45.75" customHeight="1" x14ac:dyDescent="0.35">
      <c r="A22" s="7">
        <v>19</v>
      </c>
      <c r="B22" s="7" t="s">
        <v>107</v>
      </c>
      <c r="C22" s="7" t="s">
        <v>108</v>
      </c>
      <c r="D22" s="7">
        <v>5</v>
      </c>
      <c r="E22" s="7" t="s">
        <v>109</v>
      </c>
      <c r="F22" s="7">
        <v>0</v>
      </c>
      <c r="G22" s="7">
        <v>0</v>
      </c>
      <c r="H22" s="7" t="s">
        <v>110</v>
      </c>
      <c r="I22" s="7" t="s">
        <v>111</v>
      </c>
      <c r="J22" s="7">
        <v>9</v>
      </c>
      <c r="K22" s="12">
        <v>10</v>
      </c>
      <c r="L22" s="8" t="s">
        <v>137</v>
      </c>
    </row>
    <row r="23" spans="1:12" ht="45.75" customHeight="1" x14ac:dyDescent="0.35">
      <c r="A23" s="7">
        <v>20</v>
      </c>
      <c r="B23" s="7" t="s">
        <v>112</v>
      </c>
      <c r="C23" s="7" t="s">
        <v>113</v>
      </c>
      <c r="D23" s="7">
        <v>26</v>
      </c>
      <c r="E23" s="7" t="s">
        <v>32</v>
      </c>
      <c r="F23" s="7">
        <v>2.4</v>
      </c>
      <c r="G23" s="7">
        <v>9</v>
      </c>
      <c r="H23" s="7" t="s">
        <v>114</v>
      </c>
      <c r="I23" s="7" t="s">
        <v>115</v>
      </c>
      <c r="J23" s="7">
        <v>2</v>
      </c>
      <c r="K23" s="12">
        <v>1</v>
      </c>
      <c r="L23" s="8" t="s">
        <v>136</v>
      </c>
    </row>
    <row r="24" spans="1:12" ht="45.75" customHeight="1" x14ac:dyDescent="0.35">
      <c r="A24" s="7">
        <v>21</v>
      </c>
      <c r="B24" s="7" t="s">
        <v>116</v>
      </c>
      <c r="C24" s="7" t="s">
        <v>117</v>
      </c>
      <c r="D24" s="7">
        <v>18</v>
      </c>
      <c r="E24" s="7" t="s">
        <v>51</v>
      </c>
      <c r="F24" s="7">
        <v>1.4</v>
      </c>
      <c r="G24" s="7">
        <v>12</v>
      </c>
      <c r="H24" s="7" t="s">
        <v>118</v>
      </c>
      <c r="I24" s="7" t="s">
        <v>53</v>
      </c>
      <c r="J24" s="7">
        <v>5</v>
      </c>
      <c r="K24" s="12">
        <v>2</v>
      </c>
      <c r="L24" s="8" t="s">
        <v>136</v>
      </c>
    </row>
    <row r="25" spans="1:12" ht="45.75" customHeight="1" x14ac:dyDescent="0.35">
      <c r="A25" s="7">
        <v>22</v>
      </c>
      <c r="B25" s="7" t="s">
        <v>119</v>
      </c>
      <c r="C25" s="7" t="s">
        <v>120</v>
      </c>
      <c r="D25" s="7">
        <v>32</v>
      </c>
      <c r="E25" s="7" t="s">
        <v>121</v>
      </c>
      <c r="F25" s="7">
        <v>4</v>
      </c>
      <c r="G25" s="7">
        <v>9</v>
      </c>
      <c r="H25" s="7" t="s">
        <v>122</v>
      </c>
      <c r="I25" s="7" t="s">
        <v>123</v>
      </c>
      <c r="J25" s="7">
        <v>1</v>
      </c>
      <c r="K25" s="12">
        <v>1</v>
      </c>
      <c r="L25" s="8" t="s">
        <v>126</v>
      </c>
    </row>
    <row r="26" spans="1:12" ht="15.75" customHeight="1" x14ac:dyDescent="0.35">
      <c r="A26" s="9">
        <v>23</v>
      </c>
      <c r="B26" s="9"/>
      <c r="C26" s="9"/>
      <c r="D26" s="9"/>
      <c r="E26" s="9"/>
      <c r="F26" s="9"/>
      <c r="G26" s="9"/>
      <c r="H26" s="9"/>
      <c r="I26" s="9"/>
      <c r="J26" s="9"/>
      <c r="K26" s="13"/>
      <c r="L26" s="9"/>
    </row>
    <row r="27" spans="1:12" ht="15.75" customHeight="1" x14ac:dyDescent="0.35">
      <c r="A27" s="9">
        <v>24</v>
      </c>
      <c r="B27" s="9"/>
      <c r="C27" s="9"/>
      <c r="D27" s="9"/>
      <c r="E27" s="9"/>
      <c r="F27" s="9"/>
      <c r="G27" s="9"/>
      <c r="H27" s="9"/>
      <c r="I27" s="9"/>
      <c r="J27" s="9"/>
      <c r="K27" s="13"/>
      <c r="L27" s="9"/>
    </row>
    <row r="28" spans="1:12" ht="15.75" customHeight="1" x14ac:dyDescent="0.35">
      <c r="A28" s="9">
        <v>25</v>
      </c>
      <c r="B28" s="9"/>
      <c r="C28" s="9"/>
      <c r="D28" s="9"/>
      <c r="E28" s="9"/>
      <c r="F28" s="9"/>
      <c r="G28" s="9"/>
      <c r="H28" s="9"/>
      <c r="I28" s="9"/>
      <c r="J28" s="9"/>
      <c r="K28" s="13"/>
      <c r="L28" s="9"/>
    </row>
    <row r="29" spans="1:12" ht="15.75" customHeight="1" x14ac:dyDescent="0.35">
      <c r="A29" s="9">
        <v>26</v>
      </c>
      <c r="B29" s="9"/>
      <c r="C29" s="9"/>
      <c r="D29" s="9"/>
      <c r="E29" s="9"/>
      <c r="F29" s="9"/>
      <c r="G29" s="9"/>
      <c r="H29" s="9"/>
      <c r="I29" s="9"/>
      <c r="J29" s="9"/>
      <c r="K29" s="13"/>
      <c r="L29" s="9"/>
    </row>
    <row r="30" spans="1:12" ht="15.75" customHeight="1" x14ac:dyDescent="0.35">
      <c r="A30" s="9">
        <v>27</v>
      </c>
      <c r="B30" s="9"/>
      <c r="C30" s="9"/>
      <c r="D30" s="9"/>
      <c r="E30" s="9"/>
      <c r="F30" s="9"/>
      <c r="G30" s="9"/>
      <c r="H30" s="9"/>
      <c r="I30" s="9"/>
      <c r="J30" s="9"/>
      <c r="K30" s="13"/>
      <c r="L30" s="9"/>
    </row>
    <row r="31" spans="1:12" ht="15.75" customHeight="1" x14ac:dyDescent="0.35">
      <c r="A31" s="9">
        <v>28</v>
      </c>
      <c r="B31" s="9"/>
      <c r="C31" s="9"/>
      <c r="D31" s="9"/>
      <c r="E31" s="9"/>
      <c r="F31" s="9"/>
      <c r="G31" s="9"/>
      <c r="H31" s="9"/>
      <c r="I31" s="9"/>
      <c r="J31" s="9"/>
      <c r="K31" s="13"/>
      <c r="L31" s="9"/>
    </row>
    <row r="32" spans="1:12" ht="15.75" customHeight="1" x14ac:dyDescent="0.35">
      <c r="A32" s="9">
        <v>29</v>
      </c>
      <c r="B32" s="9"/>
      <c r="C32" s="9"/>
      <c r="D32" s="9"/>
      <c r="E32" s="9"/>
      <c r="F32" s="9"/>
      <c r="G32" s="9"/>
      <c r="H32" s="9"/>
      <c r="I32" s="9"/>
      <c r="J32" s="9"/>
      <c r="K32" s="13"/>
      <c r="L32" s="9"/>
    </row>
    <row r="33" spans="1:12" ht="15.75" customHeight="1" x14ac:dyDescent="0.35">
      <c r="A33" s="9">
        <v>30</v>
      </c>
      <c r="B33" s="9"/>
      <c r="C33" s="9"/>
      <c r="D33" s="9"/>
      <c r="E33" s="9"/>
      <c r="F33" s="9"/>
      <c r="G33" s="9"/>
      <c r="H33" s="9"/>
      <c r="I33" s="9"/>
      <c r="J33" s="9"/>
      <c r="K33" s="13"/>
      <c r="L33" s="9"/>
    </row>
    <row r="34" spans="1:12" ht="15.75" customHeight="1" x14ac:dyDescent="0.35">
      <c r="A34" s="9">
        <v>31</v>
      </c>
      <c r="B34" s="9"/>
      <c r="C34" s="9"/>
      <c r="D34" s="9"/>
      <c r="E34" s="9"/>
      <c r="F34" s="9"/>
      <c r="G34" s="9"/>
      <c r="H34" s="9"/>
      <c r="I34" s="9"/>
      <c r="J34" s="9"/>
      <c r="K34" s="13"/>
      <c r="L34" s="9"/>
    </row>
    <row r="35" spans="1:12" ht="15.75" customHeight="1" x14ac:dyDescent="0.35">
      <c r="A35" s="9">
        <v>32</v>
      </c>
      <c r="B35" s="9"/>
      <c r="C35" s="9"/>
      <c r="D35" s="9"/>
      <c r="E35" s="9"/>
      <c r="F35" s="9"/>
      <c r="G35" s="9"/>
      <c r="H35" s="9"/>
      <c r="I35" s="9"/>
      <c r="J35" s="9"/>
      <c r="K35" s="13"/>
      <c r="L35" s="9"/>
    </row>
  </sheetData>
  <dataValidations count="1">
    <dataValidation type="whole" showErrorMessage="1" errorTitle="Invalid rating" error="Enter a whole number between 1 and 10." sqref="K4:K1000" xr:uid="{00000000-0002-0000-0100-000000000000}">
      <formula1>1</formula1>
      <formula2>10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Rating 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Maya Trcek</cp:lastModifiedBy>
  <cp:revision>0</cp:revision>
  <dcterms:created xsi:type="dcterms:W3CDTF">2026-08-09T07:25:05Z</dcterms:created>
  <dcterms:modified xsi:type="dcterms:W3CDTF">2026-08-09T08:13:22Z</dcterms:modified>
  <dc:language>en-US</dc:language>
</cp:coreProperties>
</file>